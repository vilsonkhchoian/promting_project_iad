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vilsonkhchoian/Downloads/"/>
    </mc:Choice>
  </mc:AlternateContent>
  <xr:revisionPtr revIDLastSave="0" documentId="13_ncr:1_{C597CC18-F8A7-DA4C-90AA-15C0197FE1F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</calcChain>
</file>

<file path=xl/sharedStrings.xml><?xml version="1.0" encoding="utf-8"?>
<sst xmlns="http://schemas.openxmlformats.org/spreadsheetml/2006/main" count="98" uniqueCount="35">
  <si>
    <t>model</t>
  </si>
  <si>
    <t>provider</t>
  </si>
  <si>
    <t>prompt_id</t>
  </si>
  <si>
    <t>n_essays</t>
  </si>
  <si>
    <t>MAE</t>
  </si>
  <si>
    <t>RMSE</t>
  </si>
  <si>
    <t>MAPE</t>
  </si>
  <si>
    <t>SMAPE</t>
  </si>
  <si>
    <t>Bias</t>
  </si>
  <si>
    <t>Within_1</t>
  </si>
  <si>
    <t>Within_2</t>
  </si>
  <si>
    <t>Spearman</t>
  </si>
  <si>
    <t>avg_real_score</t>
  </si>
  <si>
    <t>avg_model_score</t>
  </si>
  <si>
    <t>avg_elapsed_sec</t>
  </si>
  <si>
    <t>GigaChat-2</t>
  </si>
  <si>
    <t>gigachat</t>
  </si>
  <si>
    <t>prompt_1</t>
  </si>
  <si>
    <t>prompt_2</t>
  </si>
  <si>
    <t>prompt_3</t>
  </si>
  <si>
    <t>prompt_4</t>
  </si>
  <si>
    <t>prompt_5</t>
  </si>
  <si>
    <t>GigaChat-2-Max</t>
  </si>
  <si>
    <t>inclusionai/ling-2.6-1t:free</t>
  </si>
  <si>
    <t>openrouter</t>
  </si>
  <si>
    <t>nvidia/nemotron-3-nano-30b-a3b:free</t>
  </si>
  <si>
    <t>openai/gpt-oss-120b:free</t>
  </si>
  <si>
    <t>QWK</t>
  </si>
  <si>
    <t>abs_Bias</t>
  </si>
  <si>
    <t>Leader_Score</t>
  </si>
  <si>
    <t>Веса распределены по важности для оценки эссе: наибольший вес дан MAE и Within_1, потому что они напрямую показывают среднюю ошибку и долю близких попаданий.
QWK и abs_Bias получили высокий вес, так как отражают согласованность с реальной шкалой и отсутствие систематического завышения/занижения.
RMSE, Spearman, Within_2 и скорость используются как дополнительные критерии: штрафуют крупные ошибки, проверяют ранжирование эссе и помогают выбрать более практичную связку при близком качестве.</t>
  </si>
  <si>
    <t xml:space="preserve">Пояснения для показателей </t>
  </si>
  <si>
    <t>Within_1 = 0.85 значит, что в 85% случаев ошибка была ≤ 1 балла.</t>
  </si>
  <si>
    <t>Within_2 = 0.95 значит, что в 95% случаев ошибка была ≤ 2 баллов.</t>
  </si>
  <si>
    <t>Sperman - показывает, насколько хорошо модель сохраняет порядок эссе: сильные эссе должны получать более высокие оценки, слабые — более низкие. Чем ближе к 1, тем лучше ранжирование.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</si>
</sst>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2" xfId="0" applyBorder="1"/>
    <xf numFmtId="0" fontId="2" fillId="0" borderId="2" xfId="0" applyFont="1" applyBorder="1"/>
    <xf numFmtId="0" fontId="2" fillId="3" borderId="0" xfId="0" applyFont="1" applyFill="1"/>
    <xf numFmtId="0" fontId="2" fillId="3" borderId="2" xfId="0" applyFont="1" applyFill="1" applyBorder="1"/>
    <xf numFmtId="0" fontId="0" fillId="3" borderId="0" xfId="0" applyFill="1"/>
    <xf numFmtId="0" fontId="3" fillId="0" borderId="0" xfId="0" applyFont="1"/>
    <xf numFmtId="0" fontId="3" fillId="2" borderId="0" xfId="0" applyFont="1" applyFill="1"/>
    <xf numFmtId="0" fontId="3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zoomScale="75" workbookViewId="0">
      <selection activeCell="G38" sqref="G38"/>
    </sheetView>
  </sheetViews>
  <sheetFormatPr baseColWidth="10" defaultColWidth="8.83203125" defaultRowHeight="15" x14ac:dyDescent="0.2"/>
  <cols>
    <col min="1" max="1" width="30.6640625" bestFit="1" customWidth="1"/>
    <col min="2" max="2" width="9.83203125" bestFit="1" customWidth="1"/>
    <col min="3" max="3" width="9.33203125" bestFit="1" customWidth="1"/>
    <col min="4" max="4" width="7.6640625" bestFit="1" customWidth="1"/>
    <col min="5" max="5" width="8.1640625" bestFit="1" customWidth="1"/>
    <col min="6" max="8" width="12.1640625" bestFit="1" customWidth="1"/>
    <col min="9" max="9" width="8.6640625" bestFit="1" customWidth="1"/>
    <col min="10" max="10" width="8.1640625" bestFit="1" customWidth="1"/>
    <col min="11" max="12" width="8.33203125" bestFit="1" customWidth="1"/>
    <col min="13" max="14" width="12.1640625" bestFit="1" customWidth="1"/>
    <col min="15" max="15" width="12.83203125" bestFit="1" customWidth="1"/>
    <col min="16" max="16" width="14.6640625" bestFit="1" customWidth="1"/>
    <col min="17" max="17" width="14" bestFit="1" customWidth="1"/>
    <col min="18" max="18" width="12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1" t="s">
        <v>9</v>
      </c>
      <c r="L1" s="1" t="s">
        <v>10</v>
      </c>
      <c r="M1" s="1" t="s">
        <v>11</v>
      </c>
      <c r="N1" s="1" t="s">
        <v>27</v>
      </c>
      <c r="O1" s="1" t="s">
        <v>12</v>
      </c>
      <c r="P1" s="1" t="s">
        <v>13</v>
      </c>
      <c r="Q1" s="1" t="s">
        <v>14</v>
      </c>
      <c r="R1" s="1" t="s">
        <v>29</v>
      </c>
    </row>
    <row r="2" spans="1:18" x14ac:dyDescent="0.2">
      <c r="A2" t="s">
        <v>15</v>
      </c>
      <c r="B2" t="s">
        <v>16</v>
      </c>
      <c r="C2" t="s">
        <v>17</v>
      </c>
      <c r="D2">
        <v>40</v>
      </c>
      <c r="E2" s="2">
        <v>1.1000000000000001</v>
      </c>
      <c r="F2" s="2">
        <v>1.6770509831248419</v>
      </c>
      <c r="G2" s="2">
        <v>15.436019862490451</v>
      </c>
      <c r="H2" s="2">
        <v>17.964784484521331</v>
      </c>
      <c r="I2">
        <v>-0.85</v>
      </c>
      <c r="J2">
        <v>0.85</v>
      </c>
      <c r="K2">
        <v>0.77500000000000002</v>
      </c>
      <c r="L2" s="2">
        <v>0.9</v>
      </c>
      <c r="M2" s="2">
        <v>0.53382982189976025</v>
      </c>
      <c r="N2" s="2">
        <v>0.36754507628294031</v>
      </c>
      <c r="O2">
        <v>7.3624999999999998</v>
      </c>
      <c r="P2">
        <v>6.5125000000000002</v>
      </c>
      <c r="Q2">
        <v>3.4456033937225579</v>
      </c>
      <c r="R2">
        <f>(0.25*(10-E2)+0.1*(10-F2)+0.15*(10-J2)+0.2*(K2*10)+0.03*(L2*10)+0.08*(M2*10)+0.15*(N2*10)+0.02*(10-Q2)) * 10</f>
        <v>73.592643057572829</v>
      </c>
    </row>
    <row r="3" spans="1:18" x14ac:dyDescent="0.2">
      <c r="A3" t="s">
        <v>15</v>
      </c>
      <c r="B3" t="s">
        <v>16</v>
      </c>
      <c r="C3" t="s">
        <v>18</v>
      </c>
      <c r="D3">
        <v>40</v>
      </c>
      <c r="E3" s="9">
        <v>4.7374999999999998</v>
      </c>
      <c r="F3" s="9">
        <v>4.9085384790179649</v>
      </c>
      <c r="G3" s="8">
        <v>63.166889483065937</v>
      </c>
      <c r="H3" s="8">
        <v>93.757882214403949</v>
      </c>
      <c r="I3" s="9">
        <v>-4.7374999999999998</v>
      </c>
      <c r="J3" s="9">
        <v>4.7374999999999998</v>
      </c>
      <c r="K3" s="9">
        <v>2.5000000000000001E-2</v>
      </c>
      <c r="L3" s="8">
        <v>0.05</v>
      </c>
      <c r="M3" s="8">
        <v>0.25074782028041448</v>
      </c>
      <c r="N3" s="8">
        <v>1.153550371699574E-2</v>
      </c>
      <c r="O3">
        <v>7.3624999999999998</v>
      </c>
      <c r="P3" s="9">
        <v>2.625</v>
      </c>
      <c r="Q3" s="8">
        <v>4.2537783864594534</v>
      </c>
      <c r="R3" s="8">
        <f t="shared" ref="R3:R26" si="0">(0.25*(10-E3)+0.1*(10-F3)+0.15*(10-J3)+0.2*(K3*10)+0.03*(L3*10)+0.08*(M3*10)+0.15*(N3*10)+0.02*(10-Q3)) * 10</f>
        <v>30.119720961688401</v>
      </c>
    </row>
    <row r="4" spans="1:18" x14ac:dyDescent="0.2">
      <c r="A4" t="s">
        <v>15</v>
      </c>
      <c r="B4" t="s">
        <v>16</v>
      </c>
      <c r="C4" t="s">
        <v>19</v>
      </c>
      <c r="D4">
        <v>40</v>
      </c>
      <c r="E4">
        <v>1.1625000000000001</v>
      </c>
      <c r="F4">
        <v>1.7084349563269889</v>
      </c>
      <c r="G4">
        <v>16.417170656141241</v>
      </c>
      <c r="H4">
        <v>18.845069533150031</v>
      </c>
      <c r="I4">
        <v>-0.91249999999999998</v>
      </c>
      <c r="J4">
        <v>0.91249999999999998</v>
      </c>
      <c r="K4">
        <v>0.72499999999999998</v>
      </c>
      <c r="L4">
        <v>0.875</v>
      </c>
      <c r="M4">
        <v>0.52773264224002381</v>
      </c>
      <c r="N4">
        <v>0.3653333333333334</v>
      </c>
      <c r="O4">
        <v>7.3624999999999998</v>
      </c>
      <c r="P4">
        <v>6.45</v>
      </c>
      <c r="Q4" s="2">
        <v>3.1023145083308918</v>
      </c>
      <c r="R4" s="2">
        <f t="shared" si="0"/>
        <v>72.222963279927029</v>
      </c>
    </row>
    <row r="5" spans="1:18" x14ac:dyDescent="0.2">
      <c r="A5" t="s">
        <v>15</v>
      </c>
      <c r="B5" t="s">
        <v>16</v>
      </c>
      <c r="C5" t="s">
        <v>20</v>
      </c>
      <c r="D5">
        <v>40</v>
      </c>
      <c r="E5">
        <v>4.5374999999999996</v>
      </c>
      <c r="F5">
        <v>4.7030575161271413</v>
      </c>
      <c r="G5">
        <v>60.435558314234783</v>
      </c>
      <c r="H5">
        <v>87.703217924445553</v>
      </c>
      <c r="I5">
        <v>-4.5374999999999996</v>
      </c>
      <c r="J5">
        <v>4.5374999999999996</v>
      </c>
      <c r="K5" s="9">
        <v>2.5000000000000001E-2</v>
      </c>
      <c r="L5" s="8">
        <v>0.05</v>
      </c>
      <c r="M5">
        <v>0.35202217040364231</v>
      </c>
      <c r="N5">
        <v>1.476734466425189E-2</v>
      </c>
      <c r="O5">
        <v>7.3624999999999998</v>
      </c>
      <c r="P5">
        <v>2.8250000000000002</v>
      </c>
      <c r="Q5">
        <v>4.1889930937264577</v>
      </c>
      <c r="R5">
        <f t="shared" si="0"/>
        <v>31.996831398320484</v>
      </c>
    </row>
    <row r="6" spans="1:18" x14ac:dyDescent="0.2">
      <c r="A6" t="s">
        <v>15</v>
      </c>
      <c r="B6" t="s">
        <v>16</v>
      </c>
      <c r="C6" t="s">
        <v>21</v>
      </c>
      <c r="D6">
        <v>40</v>
      </c>
      <c r="E6" s="3">
        <v>1.1375</v>
      </c>
      <c r="F6" s="3">
        <v>1.807968473176454</v>
      </c>
      <c r="G6" s="3">
        <v>17.769353195823779</v>
      </c>
      <c r="H6" s="3">
        <v>18.839944180346659</v>
      </c>
      <c r="I6" s="4">
        <v>-0.33750000000000002</v>
      </c>
      <c r="J6" s="4">
        <v>0.33750000000000002</v>
      </c>
      <c r="K6" s="4">
        <v>0.82499999999999996</v>
      </c>
      <c r="L6" s="4">
        <v>0.9</v>
      </c>
      <c r="M6" s="3">
        <v>0.38513399909419171</v>
      </c>
      <c r="N6" s="3">
        <v>0.13253012048192761</v>
      </c>
      <c r="O6" s="3">
        <v>7.3624999999999998</v>
      </c>
      <c r="P6" s="4">
        <v>7.0250000000000004</v>
      </c>
      <c r="Q6" s="3">
        <v>3.7809333198005328</v>
      </c>
      <c r="R6" s="3">
        <f t="shared" si="0"/>
        <v>70.354868662845888</v>
      </c>
    </row>
    <row r="7" spans="1:18" x14ac:dyDescent="0.2">
      <c r="A7" t="s">
        <v>22</v>
      </c>
      <c r="B7" t="s">
        <v>16</v>
      </c>
      <c r="C7" t="s">
        <v>17</v>
      </c>
      <c r="D7">
        <v>40</v>
      </c>
      <c r="E7">
        <v>0.9</v>
      </c>
      <c r="F7">
        <v>1.3462912017836259</v>
      </c>
      <c r="G7">
        <v>11.916825821237589</v>
      </c>
      <c r="H7">
        <v>13.65555416070996</v>
      </c>
      <c r="I7">
        <v>-0.75</v>
      </c>
      <c r="J7">
        <v>0.75</v>
      </c>
      <c r="K7">
        <v>0.8</v>
      </c>
      <c r="L7">
        <v>0.92500000000000004</v>
      </c>
      <c r="M7">
        <v>0.54270516725411133</v>
      </c>
      <c r="N7">
        <v>0.53532182103610682</v>
      </c>
      <c r="O7">
        <v>7.3624999999999998</v>
      </c>
      <c r="P7">
        <v>6.6124999999999998</v>
      </c>
      <c r="Q7">
        <v>8.1885389499890149</v>
      </c>
      <c r="R7">
        <f t="shared" si="0"/>
        <v>76.787469661793068</v>
      </c>
    </row>
    <row r="8" spans="1:18" x14ac:dyDescent="0.2">
      <c r="A8" t="s">
        <v>22</v>
      </c>
      <c r="B8" t="s">
        <v>16</v>
      </c>
      <c r="C8" t="s">
        <v>18</v>
      </c>
      <c r="D8">
        <v>40</v>
      </c>
      <c r="E8">
        <v>4.4375</v>
      </c>
      <c r="F8">
        <v>4.7110243047558136</v>
      </c>
      <c r="G8">
        <v>59.162109540785998</v>
      </c>
      <c r="H8">
        <v>87.474442915484801</v>
      </c>
      <c r="I8">
        <v>-4.3375000000000004</v>
      </c>
      <c r="J8">
        <v>4.3375000000000004</v>
      </c>
      <c r="K8">
        <v>0.1</v>
      </c>
      <c r="L8">
        <v>0.1</v>
      </c>
      <c r="M8" s="8">
        <v>0.15993870232100499</v>
      </c>
      <c r="N8" s="9">
        <v>3.6092265943012181E-2</v>
      </c>
      <c r="O8">
        <v>7.3624999999999998</v>
      </c>
      <c r="P8">
        <v>3.0249999999999999</v>
      </c>
      <c r="Q8">
        <v>10.103799366691961</v>
      </c>
      <c r="R8">
        <f t="shared" si="0"/>
        <v>31.789109429619018</v>
      </c>
    </row>
    <row r="9" spans="1:18" x14ac:dyDescent="0.2">
      <c r="A9" t="s">
        <v>22</v>
      </c>
      <c r="B9" t="s">
        <v>16</v>
      </c>
      <c r="C9" t="s">
        <v>19</v>
      </c>
      <c r="D9">
        <v>40</v>
      </c>
      <c r="E9" s="5">
        <v>0.78749999999999998</v>
      </c>
      <c r="F9" s="2">
        <v>1.180571895311759</v>
      </c>
      <c r="G9" s="5">
        <v>10.60467065614124</v>
      </c>
      <c r="H9" s="5">
        <v>11.66070865838668</v>
      </c>
      <c r="I9" s="2">
        <v>-0.51249999999999996</v>
      </c>
      <c r="J9" s="2">
        <v>0.51249999999999996</v>
      </c>
      <c r="K9" s="5">
        <v>0.85</v>
      </c>
      <c r="L9" s="5">
        <v>0.95</v>
      </c>
      <c r="M9" s="2">
        <v>0.6018960291348372</v>
      </c>
      <c r="N9" s="2">
        <v>0.57303370786516861</v>
      </c>
      <c r="O9">
        <v>7.3624999999999998</v>
      </c>
      <c r="P9">
        <v>6.85</v>
      </c>
      <c r="Q9" s="2">
        <v>6.36874541467696</v>
      </c>
      <c r="R9" s="7">
        <f t="shared" si="0"/>
        <v>80.068852872809089</v>
      </c>
    </row>
    <row r="10" spans="1:18" x14ac:dyDescent="0.2">
      <c r="A10" t="s">
        <v>22</v>
      </c>
      <c r="B10" t="s">
        <v>16</v>
      </c>
      <c r="C10" t="s">
        <v>20</v>
      </c>
      <c r="D10">
        <v>40</v>
      </c>
      <c r="E10" s="9">
        <v>4.7374999999999998</v>
      </c>
      <c r="F10" s="8">
        <v>4.9034426681669281</v>
      </c>
      <c r="G10" s="9">
        <v>63.383339699516164</v>
      </c>
      <c r="H10" s="9">
        <v>94.581669538191278</v>
      </c>
      <c r="I10" s="8">
        <v>-4.7374999999999998</v>
      </c>
      <c r="J10" s="8">
        <v>4.7374999999999998</v>
      </c>
      <c r="K10" s="9">
        <v>2.5000000000000001E-2</v>
      </c>
      <c r="L10" s="9">
        <v>2.5000000000000001E-2</v>
      </c>
      <c r="M10">
        <v>0.20229316971274439</v>
      </c>
      <c r="N10">
        <v>1.7615522083227031E-2</v>
      </c>
      <c r="O10">
        <v>7.3624999999999998</v>
      </c>
      <c r="P10" s="9">
        <v>2.625</v>
      </c>
      <c r="Q10" s="8">
        <v>11.88738128434634</v>
      </c>
      <c r="R10" s="9">
        <f t="shared" si="0"/>
        <v>28.226659263914165</v>
      </c>
    </row>
    <row r="11" spans="1:18" x14ac:dyDescent="0.2">
      <c r="A11" t="s">
        <v>22</v>
      </c>
      <c r="B11" t="s">
        <v>16</v>
      </c>
      <c r="C11" t="s">
        <v>21</v>
      </c>
      <c r="D11">
        <v>40</v>
      </c>
      <c r="E11" s="3">
        <v>1.125</v>
      </c>
      <c r="F11" s="3">
        <v>1.874166481399131</v>
      </c>
      <c r="G11" s="3">
        <v>16.069423223834988</v>
      </c>
      <c r="H11" s="3">
        <v>19.35484515179661</v>
      </c>
      <c r="I11" s="3">
        <v>-0.625</v>
      </c>
      <c r="J11" s="3">
        <v>0.625</v>
      </c>
      <c r="K11" s="3">
        <v>0.7</v>
      </c>
      <c r="L11" s="3">
        <v>0.85</v>
      </c>
      <c r="M11" s="3">
        <v>0.39458982945514431</v>
      </c>
      <c r="N11" s="3">
        <v>0.30370370370370381</v>
      </c>
      <c r="O11" s="3">
        <v>7.3624999999999998</v>
      </c>
      <c r="P11" s="4">
        <v>6.7374999999999998</v>
      </c>
      <c r="Q11" s="3">
        <v>8.6888006353721714</v>
      </c>
      <c r="R11" s="3">
        <f t="shared" si="0"/>
        <v>68.900347582723157</v>
      </c>
    </row>
    <row r="12" spans="1:18" x14ac:dyDescent="0.2">
      <c r="A12" t="s">
        <v>23</v>
      </c>
      <c r="B12" t="s">
        <v>24</v>
      </c>
      <c r="C12" t="s">
        <v>17</v>
      </c>
      <c r="D12">
        <v>40</v>
      </c>
      <c r="E12">
        <v>1.6125</v>
      </c>
      <c r="F12">
        <v>2.300815072968708</v>
      </c>
      <c r="G12">
        <v>20.65077243018419</v>
      </c>
      <c r="H12">
        <v>25.937014315622129</v>
      </c>
      <c r="I12">
        <v>-1.4875</v>
      </c>
      <c r="J12">
        <v>1.4875</v>
      </c>
      <c r="K12">
        <v>0.625</v>
      </c>
      <c r="L12">
        <v>0.82499999999999996</v>
      </c>
      <c r="M12" s="8">
        <v>0.2084118813977244</v>
      </c>
      <c r="N12" s="8">
        <v>0.1083070452155627</v>
      </c>
      <c r="O12">
        <v>7.3624999999999998</v>
      </c>
      <c r="P12">
        <v>5.875</v>
      </c>
      <c r="Q12">
        <v>8.9753361010574739</v>
      </c>
      <c r="R12">
        <f t="shared" si="0"/>
        <v>59.908518436235028</v>
      </c>
    </row>
    <row r="13" spans="1:18" x14ac:dyDescent="0.2">
      <c r="A13" t="s">
        <v>23</v>
      </c>
      <c r="B13" t="s">
        <v>24</v>
      </c>
      <c r="C13" t="s">
        <v>18</v>
      </c>
      <c r="D13">
        <v>40</v>
      </c>
      <c r="E13">
        <v>1.95</v>
      </c>
      <c r="F13">
        <v>2.962262648719725</v>
      </c>
      <c r="G13">
        <v>27.571752185722779</v>
      </c>
      <c r="H13">
        <v>39.643006676248042</v>
      </c>
      <c r="I13">
        <v>-1.0249999999999999</v>
      </c>
      <c r="J13">
        <v>1.0249999999999999</v>
      </c>
      <c r="K13">
        <v>0.625</v>
      </c>
      <c r="L13">
        <v>0.72499999999999998</v>
      </c>
      <c r="M13">
        <v>0.4414534551168508</v>
      </c>
      <c r="N13">
        <v>0.24283396430502971</v>
      </c>
      <c r="O13">
        <v>7.3624999999999998</v>
      </c>
      <c r="P13">
        <v>6.3375000000000004</v>
      </c>
      <c r="Q13">
        <v>8.0984407906973495</v>
      </c>
      <c r="R13">
        <f t="shared" si="0"/>
        <v>62.854686298651067</v>
      </c>
    </row>
    <row r="14" spans="1:18" x14ac:dyDescent="0.2">
      <c r="A14" t="s">
        <v>23</v>
      </c>
      <c r="B14" t="s">
        <v>24</v>
      </c>
      <c r="C14" t="s">
        <v>19</v>
      </c>
      <c r="D14">
        <v>40</v>
      </c>
      <c r="E14">
        <v>0.92500000000000004</v>
      </c>
      <c r="F14">
        <v>1.2041594578792301</v>
      </c>
      <c r="G14">
        <v>12.25000795772854</v>
      </c>
      <c r="H14">
        <v>13.449333573631041</v>
      </c>
      <c r="I14">
        <v>-0.75</v>
      </c>
      <c r="J14">
        <v>0.75</v>
      </c>
      <c r="K14" s="2">
        <v>0.75</v>
      </c>
      <c r="L14">
        <v>0.95</v>
      </c>
      <c r="M14">
        <v>0.56809595070697505</v>
      </c>
      <c r="N14" s="2">
        <v>0.64285714285714279</v>
      </c>
      <c r="O14">
        <v>7.3624999999999998</v>
      </c>
      <c r="P14">
        <v>6.6124999999999998</v>
      </c>
      <c r="Q14" s="5">
        <v>3.0438303573580918</v>
      </c>
      <c r="R14" s="2">
        <f t="shared" si="0"/>
        <v>78.78719921916209</v>
      </c>
    </row>
    <row r="15" spans="1:18" x14ac:dyDescent="0.2">
      <c r="A15" t="s">
        <v>23</v>
      </c>
      <c r="B15" t="s">
        <v>24</v>
      </c>
      <c r="C15" t="s">
        <v>20</v>
      </c>
      <c r="D15">
        <v>40</v>
      </c>
      <c r="E15" s="8">
        <v>2.6475</v>
      </c>
      <c r="F15" s="8">
        <v>3.3900958688509091</v>
      </c>
      <c r="G15" s="8">
        <v>38.006997495968093</v>
      </c>
      <c r="H15" s="8">
        <v>54.980546414369933</v>
      </c>
      <c r="I15" s="8">
        <v>-2.1475</v>
      </c>
      <c r="J15" s="8">
        <v>2.1475</v>
      </c>
      <c r="K15" s="8">
        <v>0.42499999999999999</v>
      </c>
      <c r="L15" s="8">
        <v>0.52500000000000002</v>
      </c>
      <c r="M15" s="2">
        <v>0.59096972449080432</v>
      </c>
      <c r="N15">
        <v>0.26345157433240329</v>
      </c>
      <c r="O15">
        <v>7.3624999999999998</v>
      </c>
      <c r="P15" s="8">
        <v>5.2149999999999999</v>
      </c>
      <c r="Q15">
        <v>6.7250011260039173</v>
      </c>
      <c r="R15">
        <f t="shared" si="0"/>
        <v>56.17943531686079</v>
      </c>
    </row>
    <row r="16" spans="1:18" x14ac:dyDescent="0.2">
      <c r="A16" t="s">
        <v>23</v>
      </c>
      <c r="B16" t="s">
        <v>24</v>
      </c>
      <c r="C16" t="s">
        <v>21</v>
      </c>
      <c r="D16">
        <v>40</v>
      </c>
      <c r="E16" s="4">
        <v>0.85</v>
      </c>
      <c r="F16" s="6">
        <v>1.1011357772772621</v>
      </c>
      <c r="G16" s="4">
        <v>11.5770652958153</v>
      </c>
      <c r="H16" s="4">
        <v>12.28939207270566</v>
      </c>
      <c r="I16" s="4">
        <v>-0.47499999999999998</v>
      </c>
      <c r="J16" s="4">
        <v>0.47499999999999998</v>
      </c>
      <c r="K16" s="3">
        <v>0.72499999999999998</v>
      </c>
      <c r="L16" s="6">
        <v>0.95</v>
      </c>
      <c r="M16" s="3">
        <v>0.58372431626369259</v>
      </c>
      <c r="N16" s="3">
        <v>0.61043478260869555</v>
      </c>
      <c r="O16" s="3">
        <v>7.3624999999999998</v>
      </c>
      <c r="P16" s="4">
        <v>6.8875000000000002</v>
      </c>
      <c r="Q16" s="10">
        <v>10.63603125622612</v>
      </c>
      <c r="R16" s="3">
        <f t="shared" si="0"/>
        <v>77.110474240717494</v>
      </c>
    </row>
    <row r="17" spans="1:18" x14ac:dyDescent="0.2">
      <c r="A17" t="s">
        <v>25</v>
      </c>
      <c r="B17" t="s">
        <v>24</v>
      </c>
      <c r="C17" t="s">
        <v>17</v>
      </c>
      <c r="D17">
        <v>40</v>
      </c>
      <c r="E17" s="8">
        <v>1.7875000000000001</v>
      </c>
      <c r="F17" s="8">
        <v>2.2290693125158758</v>
      </c>
      <c r="G17" s="8">
        <v>25.27360792801969</v>
      </c>
      <c r="H17" s="8">
        <v>28.433024114525661</v>
      </c>
      <c r="I17">
        <v>-0.53749999999999998</v>
      </c>
      <c r="J17">
        <v>0.53749999999999998</v>
      </c>
      <c r="K17" s="8">
        <v>0.45</v>
      </c>
      <c r="L17" s="8">
        <v>0.77500000000000002</v>
      </c>
      <c r="M17">
        <v>0.30622496369744567</v>
      </c>
      <c r="N17" s="8">
        <v>0.2516370439663238</v>
      </c>
      <c r="O17">
        <v>7.3624999999999998</v>
      </c>
      <c r="P17">
        <v>6.8250000000000002</v>
      </c>
      <c r="Q17" s="9">
        <v>28.857180417675409</v>
      </c>
      <c r="R17" s="8">
        <f t="shared" si="0"/>
        <v>56.273849973023466</v>
      </c>
    </row>
    <row r="18" spans="1:18" x14ac:dyDescent="0.2">
      <c r="A18" t="s">
        <v>25</v>
      </c>
      <c r="B18" t="s">
        <v>24</v>
      </c>
      <c r="C18" t="s">
        <v>18</v>
      </c>
      <c r="D18">
        <v>40</v>
      </c>
      <c r="E18">
        <v>1.54575</v>
      </c>
      <c r="F18">
        <v>1.9138893646185511</v>
      </c>
      <c r="G18">
        <v>20.83477978312537</v>
      </c>
      <c r="H18">
        <v>22.262627850969981</v>
      </c>
      <c r="I18">
        <v>-0.29575000000000001</v>
      </c>
      <c r="J18">
        <v>0.29575000000000001</v>
      </c>
      <c r="K18">
        <v>0.47499999999999998</v>
      </c>
      <c r="L18">
        <v>0.82499999999999996</v>
      </c>
      <c r="M18" s="8">
        <v>0.30258790204508151</v>
      </c>
      <c r="N18">
        <v>0.34440753045404221</v>
      </c>
      <c r="O18">
        <v>7.3624999999999998</v>
      </c>
      <c r="P18">
        <v>7.0667500000000008</v>
      </c>
      <c r="Q18">
        <v>13.249658892708251</v>
      </c>
      <c r="R18">
        <f t="shared" si="0"/>
        <v>62.689995030011083</v>
      </c>
    </row>
    <row r="19" spans="1:18" x14ac:dyDescent="0.2">
      <c r="A19" t="s">
        <v>25</v>
      </c>
      <c r="B19" t="s">
        <v>24</v>
      </c>
      <c r="C19" t="s">
        <v>19</v>
      </c>
      <c r="D19">
        <v>40</v>
      </c>
      <c r="E19" s="2">
        <v>1.175</v>
      </c>
      <c r="F19" s="2">
        <v>1.553222456700907</v>
      </c>
      <c r="G19" s="2">
        <v>17.503631376793141</v>
      </c>
      <c r="H19" s="2">
        <v>17.51763497287153</v>
      </c>
      <c r="I19" s="5">
        <v>0.15</v>
      </c>
      <c r="J19" s="5">
        <v>0.15</v>
      </c>
      <c r="K19" s="2">
        <v>0.625</v>
      </c>
      <c r="L19" s="2">
        <v>0.85</v>
      </c>
      <c r="M19" s="2">
        <v>0.56332432118004616</v>
      </c>
      <c r="N19" s="2">
        <v>0.5006501950585176</v>
      </c>
      <c r="O19">
        <v>7.3624999999999998</v>
      </c>
      <c r="P19" s="5">
        <v>7.5125000000000002</v>
      </c>
      <c r="Q19">
        <v>19.864633801116721</v>
      </c>
      <c r="R19" s="2">
        <f t="shared" si="0"/>
        <v>70.377698278393893</v>
      </c>
    </row>
    <row r="20" spans="1:18" x14ac:dyDescent="0.2">
      <c r="A20" t="s">
        <v>25</v>
      </c>
      <c r="B20" t="s">
        <v>24</v>
      </c>
      <c r="C20" t="s">
        <v>20</v>
      </c>
      <c r="D20">
        <v>40</v>
      </c>
      <c r="E20">
        <v>1.3875</v>
      </c>
      <c r="F20">
        <v>1.758905909933786</v>
      </c>
      <c r="G20">
        <v>19.23130994822171</v>
      </c>
      <c r="H20">
        <v>21.09914905425741</v>
      </c>
      <c r="I20">
        <v>-0.58750000000000002</v>
      </c>
      <c r="J20">
        <v>0.58750000000000002</v>
      </c>
      <c r="K20" s="2">
        <v>0.625</v>
      </c>
      <c r="L20" s="8">
        <v>0.77500000000000002</v>
      </c>
      <c r="M20">
        <v>0.42118174863064461</v>
      </c>
      <c r="N20">
        <v>0.42015855039637579</v>
      </c>
      <c r="O20">
        <v>7.3624999999999998</v>
      </c>
      <c r="P20">
        <v>6.7750000000000004</v>
      </c>
      <c r="Q20">
        <v>11.99440628229058</v>
      </c>
      <c r="R20">
        <f t="shared" si="0"/>
        <v>67.989045078598892</v>
      </c>
    </row>
    <row r="21" spans="1:18" x14ac:dyDescent="0.2">
      <c r="A21" t="s">
        <v>25</v>
      </c>
      <c r="B21" t="s">
        <v>24</v>
      </c>
      <c r="C21" t="s">
        <v>21</v>
      </c>
      <c r="D21">
        <v>40</v>
      </c>
      <c r="E21" s="3">
        <v>1.3374999999999999</v>
      </c>
      <c r="F21" s="3">
        <v>1.64506838763621</v>
      </c>
      <c r="G21" s="3">
        <v>17.943460338680929</v>
      </c>
      <c r="H21" s="3">
        <v>20.314927772364221</v>
      </c>
      <c r="I21" s="10">
        <v>-1.2124999999999999</v>
      </c>
      <c r="J21" s="10">
        <v>1.2124999999999999</v>
      </c>
      <c r="K21" s="3">
        <v>0.5</v>
      </c>
      <c r="L21" s="3">
        <v>0.8</v>
      </c>
      <c r="M21" s="3">
        <v>0.48635281886927229</v>
      </c>
      <c r="N21" s="3">
        <v>0.40957446808510639</v>
      </c>
      <c r="O21" s="3">
        <v>7.3624999999999998</v>
      </c>
      <c r="P21" s="10">
        <v>6.15</v>
      </c>
      <c r="Q21" s="4">
        <v>8.6568410104693605</v>
      </c>
      <c r="R21" s="3">
        <f t="shared" si="0"/>
        <v>65.895502982500702</v>
      </c>
    </row>
    <row r="22" spans="1:18" x14ac:dyDescent="0.2">
      <c r="A22" t="s">
        <v>26</v>
      </c>
      <c r="B22" t="s">
        <v>24</v>
      </c>
      <c r="C22" t="s">
        <v>17</v>
      </c>
      <c r="D22">
        <v>40</v>
      </c>
      <c r="E22">
        <v>1.6125</v>
      </c>
      <c r="F22">
        <v>2.108020398383279</v>
      </c>
      <c r="G22" s="8">
        <v>21.91852346999406</v>
      </c>
      <c r="H22" s="8">
        <v>27.060605545125672</v>
      </c>
      <c r="I22">
        <v>-1.4875</v>
      </c>
      <c r="J22">
        <v>1.4875</v>
      </c>
      <c r="K22">
        <v>0.52500000000000002</v>
      </c>
      <c r="L22">
        <v>0.75</v>
      </c>
      <c r="M22">
        <v>0.40986085901277652</v>
      </c>
      <c r="N22" s="8">
        <v>0.35608048993875763</v>
      </c>
      <c r="O22">
        <v>7.3624999999999998</v>
      </c>
      <c r="P22">
        <v>5.875</v>
      </c>
      <c r="Q22" s="9">
        <v>28.298557734396312</v>
      </c>
      <c r="R22">
        <f t="shared" si="0"/>
        <v>59.339862275921021</v>
      </c>
    </row>
    <row r="23" spans="1:18" x14ac:dyDescent="0.2">
      <c r="A23" t="s">
        <v>26</v>
      </c>
      <c r="B23" t="s">
        <v>24</v>
      </c>
      <c r="C23" t="s">
        <v>18</v>
      </c>
      <c r="D23">
        <v>40</v>
      </c>
      <c r="E23">
        <v>1.575</v>
      </c>
      <c r="F23" s="8">
        <v>1.9811612756158949</v>
      </c>
      <c r="G23">
        <v>21.53143833290892</v>
      </c>
      <c r="H23">
        <v>25.629764653990659</v>
      </c>
      <c r="I23">
        <v>-1.375</v>
      </c>
      <c r="J23">
        <v>1.375</v>
      </c>
      <c r="K23">
        <v>0.55000000000000004</v>
      </c>
      <c r="L23">
        <v>0.77500000000000002</v>
      </c>
      <c r="M23">
        <v>0.51651925791836673</v>
      </c>
      <c r="N23">
        <v>0.3908045977011495</v>
      </c>
      <c r="O23">
        <v>7.3624999999999998</v>
      </c>
      <c r="P23">
        <v>5.9874999999999998</v>
      </c>
      <c r="Q23">
        <v>25.068140193665752</v>
      </c>
      <c r="R23">
        <f t="shared" si="0"/>
        <v>62.324433714515138</v>
      </c>
    </row>
    <row r="24" spans="1:18" x14ac:dyDescent="0.2">
      <c r="A24" t="s">
        <v>26</v>
      </c>
      <c r="B24" t="s">
        <v>24</v>
      </c>
      <c r="C24" t="s">
        <v>19</v>
      </c>
      <c r="D24">
        <v>40</v>
      </c>
      <c r="E24" s="2">
        <v>1.2749999999999999</v>
      </c>
      <c r="F24" s="2">
        <v>1.6163229875244609</v>
      </c>
      <c r="G24" s="2">
        <v>16.959333354553941</v>
      </c>
      <c r="H24" s="2">
        <v>19.31765935199876</v>
      </c>
      <c r="I24">
        <v>-1</v>
      </c>
      <c r="J24">
        <v>1</v>
      </c>
      <c r="K24" s="2">
        <v>0.65</v>
      </c>
      <c r="L24" s="2">
        <v>0.9</v>
      </c>
      <c r="M24">
        <v>0.60524066593152814</v>
      </c>
      <c r="N24">
        <v>0.47764705882352942</v>
      </c>
      <c r="O24">
        <v>7.3624999999999998</v>
      </c>
      <c r="P24" s="2">
        <v>6.3624999999999998</v>
      </c>
      <c r="Q24" s="2">
        <v>15.42797080937598</v>
      </c>
      <c r="R24" s="2">
        <f t="shared" si="0"/>
        <v>70.317214060405519</v>
      </c>
    </row>
    <row r="25" spans="1:18" x14ac:dyDescent="0.2">
      <c r="A25" t="s">
        <v>26</v>
      </c>
      <c r="B25" t="s">
        <v>24</v>
      </c>
      <c r="C25" t="s">
        <v>20</v>
      </c>
      <c r="D25">
        <v>40</v>
      </c>
      <c r="E25">
        <v>1.3374999999999999</v>
      </c>
      <c r="F25">
        <v>1.6639561292293741</v>
      </c>
      <c r="G25">
        <v>18.34025655716832</v>
      </c>
      <c r="H25">
        <v>20.450053138133629</v>
      </c>
      <c r="I25" s="2">
        <v>-0.66249999999999998</v>
      </c>
      <c r="J25" s="2">
        <v>0.66249999999999998</v>
      </c>
      <c r="K25">
        <v>0.625</v>
      </c>
      <c r="L25">
        <v>0.85</v>
      </c>
      <c r="M25">
        <v>0.53171655650664218</v>
      </c>
      <c r="N25" s="2">
        <v>0.4866071428571429</v>
      </c>
      <c r="O25">
        <v>7.3624999999999998</v>
      </c>
      <c r="P25">
        <v>6.7</v>
      </c>
      <c r="Q25">
        <v>19.38518868534884</v>
      </c>
      <c r="R25">
        <f t="shared" si="0"/>
        <v>68.724345728611127</v>
      </c>
    </row>
    <row r="26" spans="1:18" x14ac:dyDescent="0.2">
      <c r="A26" t="s">
        <v>26</v>
      </c>
      <c r="B26" t="s">
        <v>24</v>
      </c>
      <c r="C26" t="s">
        <v>21</v>
      </c>
      <c r="D26">
        <v>40</v>
      </c>
      <c r="E26" s="8">
        <v>1.625</v>
      </c>
      <c r="F26">
        <v>1.8641351882307251</v>
      </c>
      <c r="G26">
        <v>21.530934343434339</v>
      </c>
      <c r="H26">
        <v>24.82799855351675</v>
      </c>
      <c r="I26" s="8">
        <v>-1.6</v>
      </c>
      <c r="J26" s="8">
        <v>1.6</v>
      </c>
      <c r="K26" s="8">
        <v>0.3</v>
      </c>
      <c r="L26" s="8">
        <v>0.7</v>
      </c>
      <c r="M26" s="5">
        <v>0.63374952476318069</v>
      </c>
      <c r="N26">
        <v>0.39878787878787869</v>
      </c>
      <c r="O26">
        <v>7.3624999999999998</v>
      </c>
      <c r="P26" s="8">
        <v>5.7625000000000002</v>
      </c>
      <c r="Q26">
        <v>19.63242700413684</v>
      </c>
      <c r="R26" s="8">
        <f t="shared" si="0"/>
        <v>58.898693790865536</v>
      </c>
    </row>
    <row r="29" spans="1:18" ht="85" customHeight="1" x14ac:dyDescent="0.2">
      <c r="A29" s="11" t="s">
        <v>30</v>
      </c>
      <c r="B29" s="11"/>
      <c r="C29" s="11"/>
      <c r="D29" s="11"/>
      <c r="E29" s="11"/>
      <c r="F29" s="11"/>
      <c r="G29" s="11"/>
      <c r="H29" s="11"/>
      <c r="I29" s="11"/>
      <c r="J29" s="11"/>
    </row>
    <row r="31" spans="1:18" x14ac:dyDescent="0.2">
      <c r="A31" s="12" t="s">
        <v>31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8" x14ac:dyDescent="0.2">
      <c r="A32" s="12" t="s">
        <v>32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2">
      <c r="A33" s="12" t="s">
        <v>33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2">
      <c r="A34" s="12" t="s">
        <v>34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</sheetData>
  <mergeCells count="5">
    <mergeCell ref="A29:J29"/>
    <mergeCell ref="A34:N34"/>
    <mergeCell ref="A32:N32"/>
    <mergeCell ref="A33:N33"/>
    <mergeCell ref="A31:N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Vilson Khchoian</cp:lastModifiedBy>
  <dcterms:created xsi:type="dcterms:W3CDTF">2026-04-28T20:23:28Z</dcterms:created>
  <dcterms:modified xsi:type="dcterms:W3CDTF">2026-04-29T12:06:22Z</dcterms:modified>
</cp:coreProperties>
</file>